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lambe'\Desktop\"/>
    </mc:Choice>
  </mc:AlternateContent>
  <xr:revisionPtr revIDLastSave="0" documentId="8_{BE7A0F77-DE82-4541-A1A4-57EC1455A63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Journal Practice" sheetId="2" r:id="rId1"/>
    <sheet name="Equation Practice" sheetId="4" r:id="rId2"/>
    <sheet name="Trial Balance" sheetId="5" r:id="rId3"/>
  </sheets>
  <definedNames>
    <definedName name="_xlnm._FilterDatabase" localSheetId="0" hidden="1">'Journal Practice'!$A$1:$J$11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E22" i="2"/>
  <c r="I21" i="2"/>
  <c r="E21" i="2"/>
  <c r="H20" i="2"/>
  <c r="H17" i="2"/>
  <c r="H14" i="2"/>
  <c r="F20" i="2"/>
  <c r="I19" i="2"/>
  <c r="E19" i="2"/>
  <c r="I18" i="2"/>
  <c r="E18" i="2"/>
  <c r="F17" i="2"/>
  <c r="I16" i="2"/>
  <c r="E16" i="2"/>
  <c r="I15" i="2"/>
  <c r="E15" i="2"/>
  <c r="F14" i="2"/>
  <c r="I13" i="2"/>
  <c r="E13" i="2"/>
  <c r="E6" i="4"/>
  <c r="F6" i="4" s="1"/>
  <c r="C5" i="4"/>
  <c r="F5" i="4" s="1"/>
  <c r="D4" i="4"/>
  <c r="E3" i="4"/>
  <c r="F3" i="4" s="1"/>
  <c r="C2" i="4"/>
  <c r="F2" i="4" s="1"/>
  <c r="J2" i="2"/>
  <c r="C12" i="5"/>
  <c r="B12" i="5"/>
  <c r="F4" i="4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<sst xmlns="http://schemas.openxmlformats.org/spreadsheetml/2006/main" count="95" uniqueCount="73">
  <si>
    <t>No.</t>
  </si>
  <si>
    <t>Date</t>
  </si>
  <si>
    <t>Transaction</t>
  </si>
  <si>
    <t>Account 1</t>
  </si>
  <si>
    <t>Debit 1</t>
  </si>
  <si>
    <t>Credit 1</t>
  </si>
  <si>
    <t>Account 2</t>
  </si>
  <si>
    <t>Debit 2</t>
  </si>
  <si>
    <t>Credit 2</t>
  </si>
  <si>
    <t>Balanced?</t>
  </si>
  <si>
    <t>Jan 2</t>
  </si>
  <si>
    <t>Owner invests $10,000 cash into the business.</t>
  </si>
  <si>
    <t>Jan 4</t>
  </si>
  <si>
    <t>Business buys equipment for $2,000 cash.</t>
  </si>
  <si>
    <t>Jan 7</t>
  </si>
  <si>
    <t>Business purchases $1,500 of inventory on account.</t>
  </si>
  <si>
    <t>Jan 10</t>
  </si>
  <si>
    <t>Business pays $500 toward the amount owed to the supplier.</t>
  </si>
  <si>
    <t>Jan 15</t>
  </si>
  <si>
    <t>Business earns $3,000 revenue in cash.</t>
  </si>
  <si>
    <t>Jan 20</t>
  </si>
  <si>
    <t>Business provides services for $2,000; customer will pay later.</t>
  </si>
  <si>
    <t>Jan 25</t>
  </si>
  <si>
    <t>Business pays $600 rent in cash.</t>
  </si>
  <si>
    <t>Jan 28</t>
  </si>
  <si>
    <t>Customer pays $1,000 toward an amount previously owed.</t>
  </si>
  <si>
    <t>Jan 30</t>
  </si>
  <si>
    <t>Business pays $250 sales commission related to January sales.</t>
  </si>
  <si>
    <t>Jan 31</t>
  </si>
  <si>
    <t>Business receives a $5,000 bank loan in cash.</t>
  </si>
  <si>
    <t>Cash</t>
  </si>
  <si>
    <t>Owner's Capital</t>
  </si>
  <si>
    <t>Equipment</t>
  </si>
  <si>
    <t>Inventory</t>
  </si>
  <si>
    <t>Accounts Payable</t>
  </si>
  <si>
    <t>Revenue</t>
  </si>
  <si>
    <t>Accounts Receivable</t>
  </si>
  <si>
    <t>Rent Expense</t>
  </si>
  <si>
    <t>Commission Expense</t>
  </si>
  <si>
    <t>Bank Loan</t>
  </si>
  <si>
    <t>Scenario</t>
  </si>
  <si>
    <t>Assets</t>
  </si>
  <si>
    <t>Liabilities</t>
  </si>
  <si>
    <t>Equity</t>
  </si>
  <si>
    <t>Check</t>
  </si>
  <si>
    <t>Liabilities = $13,445; Equity = $15,298</t>
  </si>
  <si>
    <t>Assets = $20,000; Liabilities = $7,500</t>
  </si>
  <si>
    <t>Assets = $35,000; Equity = $22,000</t>
  </si>
  <si>
    <t>Liabilities = $9,000; Equity = $16,000</t>
  </si>
  <si>
    <t>Assets = $50,000; Liabilities = $18,000</t>
  </si>
  <si>
    <t>Account</t>
  </si>
  <si>
    <t>Debit</t>
  </si>
  <si>
    <t>Credit</t>
  </si>
  <si>
    <t>TOTAL</t>
  </si>
  <si>
    <t>Cash total</t>
  </si>
  <si>
    <t>Cash credit total</t>
  </si>
  <si>
    <t>Account receivable total</t>
  </si>
  <si>
    <t>Account receivable debit total</t>
  </si>
  <si>
    <t>Equipment total</t>
  </si>
  <si>
    <t>Equipment credit total</t>
  </si>
  <si>
    <t>Inventory total</t>
  </si>
  <si>
    <t>Inventory credit total</t>
  </si>
  <si>
    <t>Account payable total</t>
  </si>
  <si>
    <t>Bank loan total</t>
  </si>
  <si>
    <t>Bank credit total</t>
  </si>
  <si>
    <t>Owner's capital total</t>
  </si>
  <si>
    <t>Owner's capital credit total</t>
  </si>
  <si>
    <t>Revenue total</t>
  </si>
  <si>
    <t>Revenue debit total</t>
  </si>
  <si>
    <t>Rent expense total</t>
  </si>
  <si>
    <t>Rent expense credit total</t>
  </si>
  <si>
    <t>Commission expense total</t>
  </si>
  <si>
    <t>Commission expense credit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</si>
</sst>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/>
    <xf numFmtId="0" fontId="2" fillId="0" borderId="0" xfId="0" applyFont="1"/>
    <xf numFmtId="6" fontId="0" fillId="3" borderId="0" xfId="0" applyNumberFormat="1" applyFill="1" applyAlignment="1">
      <alignment vertical="top" wrapText="1"/>
    </xf>
    <xf numFmtId="42" fontId="0" fillId="3" borderId="0" xfId="0" applyNumberFormat="1" applyFill="1" applyAlignment="1">
      <alignment vertical="top" wrapText="1"/>
    </xf>
    <xf numFmtId="42" fontId="0" fillId="3" borderId="0" xfId="0" applyNumberFormat="1" applyFill="1"/>
    <xf numFmtId="42" fontId="0" fillId="4" borderId="0" xfId="0" applyNumberFormat="1" applyFill="1"/>
    <xf numFmtId="0" fontId="0" fillId="5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6" borderId="0" xfId="0" applyFill="1"/>
    <xf numFmtId="42" fontId="2" fillId="0" borderId="0" xfId="0" applyNumberFormat="1" applyFont="1"/>
    <xf numFmtId="42" fontId="0" fillId="6" borderId="0" xfId="0" applyNumberFormat="1" applyFill="1"/>
    <xf numFmtId="42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B1" workbookViewId="0">
      <pane ySplit="1" topLeftCell="A6" activePane="bottomLeft" state="frozen"/>
      <selection pane="bottomLeft" activeCell="G23" sqref="G23"/>
    </sheetView>
  </sheetViews>
  <sheetFormatPr defaultRowHeight="15" x14ac:dyDescent="0.25"/>
  <cols>
    <col min="1" max="1" width="7" customWidth="1"/>
    <col min="2" max="2" width="12" customWidth="1"/>
    <col min="3" max="3" width="65" customWidth="1"/>
    <col min="4" max="4" width="24.85546875" bestFit="1" customWidth="1"/>
    <col min="5" max="6" width="14" customWidth="1"/>
    <col min="7" max="7" width="30.7109375" bestFit="1" customWidth="1"/>
    <col min="8" max="10" width="14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6" t="s">
        <v>30</v>
      </c>
      <c r="E2" s="7">
        <v>10000</v>
      </c>
      <c r="F2" s="7">
        <v>0</v>
      </c>
      <c r="G2" s="3" t="s">
        <v>31</v>
      </c>
      <c r="H2" s="7">
        <v>0</v>
      </c>
      <c r="I2" s="7">
        <v>10000</v>
      </c>
      <c r="J2" s="1" t="str">
        <f>IF(AND(E2+H2=F2+I2,E2+H2&gt;0),"BALANCED","CHECK")</f>
        <v>BALANCED</v>
      </c>
    </row>
    <row r="3" spans="1:10" x14ac:dyDescent="0.25">
      <c r="A3" s="1">
        <v>2</v>
      </c>
      <c r="B3" s="1" t="s">
        <v>12</v>
      </c>
      <c r="C3" s="1" t="s">
        <v>13</v>
      </c>
      <c r="D3" s="3" t="s">
        <v>32</v>
      </c>
      <c r="E3" s="7">
        <v>2000</v>
      </c>
      <c r="F3" s="7">
        <v>0</v>
      </c>
      <c r="G3" s="3" t="s">
        <v>30</v>
      </c>
      <c r="H3" s="7">
        <v>0</v>
      </c>
      <c r="I3" s="7">
        <v>2000</v>
      </c>
      <c r="J3" s="1" t="str">
        <f t="shared" ref="J3:J11" si="0">IF(AND(E3+H3=F3+I3,E3+H3&gt;0),"BALANCED","CHECK")</f>
        <v>BALANCED</v>
      </c>
    </row>
    <row r="4" spans="1:10" x14ac:dyDescent="0.25">
      <c r="A4" s="1">
        <v>3</v>
      </c>
      <c r="B4" s="1" t="s">
        <v>14</v>
      </c>
      <c r="C4" s="1" t="s">
        <v>15</v>
      </c>
      <c r="D4" s="3" t="s">
        <v>33</v>
      </c>
      <c r="E4" s="7">
        <v>1500</v>
      </c>
      <c r="F4" s="7">
        <v>0</v>
      </c>
      <c r="G4" s="3" t="s">
        <v>34</v>
      </c>
      <c r="H4" s="7">
        <v>0</v>
      </c>
      <c r="I4" s="7">
        <v>1500</v>
      </c>
      <c r="J4" s="1" t="str">
        <f t="shared" si="0"/>
        <v>BALANCED</v>
      </c>
    </row>
    <row r="5" spans="1:10" x14ac:dyDescent="0.25">
      <c r="A5" s="1">
        <v>4</v>
      </c>
      <c r="B5" s="1" t="s">
        <v>16</v>
      </c>
      <c r="C5" s="1" t="s">
        <v>17</v>
      </c>
      <c r="D5" s="3" t="s">
        <v>34</v>
      </c>
      <c r="E5" s="7">
        <v>0</v>
      </c>
      <c r="F5" s="7">
        <v>500</v>
      </c>
      <c r="G5" s="3" t="s">
        <v>30</v>
      </c>
      <c r="H5" s="7">
        <v>500</v>
      </c>
      <c r="I5" s="7">
        <v>0</v>
      </c>
      <c r="J5" s="1" t="str">
        <f t="shared" si="0"/>
        <v>BALANCED</v>
      </c>
    </row>
    <row r="6" spans="1:10" x14ac:dyDescent="0.25">
      <c r="A6" s="1">
        <v>5</v>
      </c>
      <c r="B6" s="1" t="s">
        <v>18</v>
      </c>
      <c r="C6" s="1" t="s">
        <v>19</v>
      </c>
      <c r="D6" s="3" t="s">
        <v>30</v>
      </c>
      <c r="E6" s="7">
        <v>0</v>
      </c>
      <c r="F6" s="7">
        <v>3000</v>
      </c>
      <c r="G6" s="3" t="s">
        <v>35</v>
      </c>
      <c r="H6" s="7">
        <v>3000</v>
      </c>
      <c r="I6" s="7">
        <v>0</v>
      </c>
      <c r="J6" s="1" t="str">
        <f t="shared" si="0"/>
        <v>BALANCED</v>
      </c>
    </row>
    <row r="7" spans="1:10" x14ac:dyDescent="0.25">
      <c r="A7" s="1">
        <v>6</v>
      </c>
      <c r="B7" s="1" t="s">
        <v>20</v>
      </c>
      <c r="C7" s="1" t="s">
        <v>21</v>
      </c>
      <c r="D7" s="3" t="s">
        <v>36</v>
      </c>
      <c r="E7" s="7">
        <v>0</v>
      </c>
      <c r="F7" s="7">
        <v>2000</v>
      </c>
      <c r="G7" s="3" t="s">
        <v>35</v>
      </c>
      <c r="H7" s="7">
        <v>2000</v>
      </c>
      <c r="I7" s="7">
        <v>0</v>
      </c>
      <c r="J7" s="1" t="str">
        <f t="shared" si="0"/>
        <v>BALANCED</v>
      </c>
    </row>
    <row r="8" spans="1:10" x14ac:dyDescent="0.25">
      <c r="A8" s="1">
        <v>7</v>
      </c>
      <c r="B8" s="1" t="s">
        <v>22</v>
      </c>
      <c r="C8" s="1" t="s">
        <v>23</v>
      </c>
      <c r="D8" s="3" t="s">
        <v>37</v>
      </c>
      <c r="E8" s="7">
        <v>600</v>
      </c>
      <c r="F8" s="7">
        <v>0</v>
      </c>
      <c r="G8" s="3" t="s">
        <v>30</v>
      </c>
      <c r="H8" s="7">
        <v>0</v>
      </c>
      <c r="I8" s="7">
        <v>600</v>
      </c>
      <c r="J8" s="1" t="str">
        <f t="shared" si="0"/>
        <v>BALANCED</v>
      </c>
    </row>
    <row r="9" spans="1:10" x14ac:dyDescent="0.25">
      <c r="A9" s="1">
        <v>8</v>
      </c>
      <c r="B9" s="1" t="s">
        <v>24</v>
      </c>
      <c r="C9" s="1" t="s">
        <v>25</v>
      </c>
      <c r="D9" s="3" t="s">
        <v>30</v>
      </c>
      <c r="E9" s="7">
        <v>1000</v>
      </c>
      <c r="F9" s="7">
        <v>0</v>
      </c>
      <c r="G9" s="3" t="s">
        <v>36</v>
      </c>
      <c r="H9" s="7">
        <v>0</v>
      </c>
      <c r="I9" s="7">
        <v>1000</v>
      </c>
      <c r="J9" s="1" t="str">
        <f t="shared" si="0"/>
        <v>BALANCED</v>
      </c>
    </row>
    <row r="10" spans="1:10" x14ac:dyDescent="0.25">
      <c r="A10" s="1">
        <v>9</v>
      </c>
      <c r="B10" s="1" t="s">
        <v>26</v>
      </c>
      <c r="C10" s="1" t="s">
        <v>27</v>
      </c>
      <c r="D10" s="3" t="s">
        <v>38</v>
      </c>
      <c r="E10" s="7">
        <v>250</v>
      </c>
      <c r="F10" s="7">
        <v>0</v>
      </c>
      <c r="G10" s="3" t="s">
        <v>30</v>
      </c>
      <c r="H10" s="7">
        <v>0</v>
      </c>
      <c r="I10" s="7">
        <v>250</v>
      </c>
      <c r="J10" s="1" t="str">
        <f t="shared" si="0"/>
        <v>BALANCED</v>
      </c>
    </row>
    <row r="11" spans="1:10" x14ac:dyDescent="0.25">
      <c r="A11" s="1">
        <v>10</v>
      </c>
      <c r="B11" s="1" t="s">
        <v>28</v>
      </c>
      <c r="C11" s="1" t="s">
        <v>29</v>
      </c>
      <c r="D11" s="3" t="s">
        <v>30</v>
      </c>
      <c r="E11" s="7">
        <v>5000</v>
      </c>
      <c r="F11" s="7">
        <v>0</v>
      </c>
      <c r="G11" s="3" t="s">
        <v>39</v>
      </c>
      <c r="H11" s="7">
        <v>0</v>
      </c>
      <c r="I11" s="7">
        <v>5000</v>
      </c>
      <c r="J11" s="1" t="str">
        <f t="shared" si="0"/>
        <v>BALANCED</v>
      </c>
    </row>
    <row r="13" spans="1:10" x14ac:dyDescent="0.25">
      <c r="D13" s="10" t="s">
        <v>54</v>
      </c>
      <c r="E13" s="11">
        <f>SUMIF(D2:D11,"Cash",E2:E11)</f>
        <v>16000</v>
      </c>
      <c r="F13" s="11"/>
      <c r="G13" s="10" t="s">
        <v>55</v>
      </c>
      <c r="H13" s="11"/>
      <c r="I13" s="11">
        <f>SUMIF(G2:G11,"Cash",I2:I11)</f>
        <v>2850</v>
      </c>
    </row>
    <row r="14" spans="1:10" ht="30" x14ac:dyDescent="0.25">
      <c r="D14" s="12" t="s">
        <v>56</v>
      </c>
      <c r="E14" s="13"/>
      <c r="F14" s="13">
        <f>SUMIF(D2:D11,"Accounts Receivable",F2:F11)</f>
        <v>2000</v>
      </c>
      <c r="G14" s="12" t="s">
        <v>57</v>
      </c>
      <c r="H14" s="13">
        <f>SUMIF(G2:G11,"Accounts Receivable",H2:H11)</f>
        <v>0</v>
      </c>
      <c r="I14" s="13"/>
    </row>
    <row r="15" spans="1:10" x14ac:dyDescent="0.25">
      <c r="D15" s="11" t="s">
        <v>58</v>
      </c>
      <c r="E15" s="11">
        <f>SUMIF(D2:D11,"Equipment",E2:E11)</f>
        <v>2000</v>
      </c>
      <c r="F15" s="11"/>
      <c r="G15" s="11" t="s">
        <v>59</v>
      </c>
      <c r="H15" s="11"/>
      <c r="I15" s="11">
        <f>SUMIF(G2:G11,"Equipment",I2:I11)</f>
        <v>0</v>
      </c>
    </row>
    <row r="16" spans="1:10" x14ac:dyDescent="0.25">
      <c r="D16" s="13" t="s">
        <v>60</v>
      </c>
      <c r="E16" s="13">
        <f>SUMIF(D2:D11,"Inventory",E2:E11)</f>
        <v>1500</v>
      </c>
      <c r="F16" s="13"/>
      <c r="G16" s="13" t="s">
        <v>61</v>
      </c>
      <c r="H16" s="13"/>
      <c r="I16" s="13">
        <f>SUMIF(G2:G11,"Inventory",I2:I11)</f>
        <v>0</v>
      </c>
    </row>
    <row r="17" spans="4:9" x14ac:dyDescent="0.25">
      <c r="D17" s="11" t="s">
        <v>62</v>
      </c>
      <c r="E17" s="11"/>
      <c r="F17" s="11">
        <f>SUMIF(D2:D11,"Accounts Payable",F2:F11)</f>
        <v>500</v>
      </c>
      <c r="G17" s="11" t="s">
        <v>62</v>
      </c>
      <c r="H17" s="11">
        <f>SUMIF(G2:G11,"Accounts Payable",H2:H11)</f>
        <v>0</v>
      </c>
      <c r="I17" s="11"/>
    </row>
    <row r="18" spans="4:9" x14ac:dyDescent="0.25">
      <c r="D18" s="13" t="s">
        <v>63</v>
      </c>
      <c r="E18" s="15">
        <f>E11</f>
        <v>5000</v>
      </c>
      <c r="F18" s="13"/>
      <c r="G18" s="13" t="s">
        <v>64</v>
      </c>
      <c r="H18" s="13"/>
      <c r="I18" s="13">
        <f>SUMIF(G2:G11,"Bank Loan",I2:I11)</f>
        <v>5000</v>
      </c>
    </row>
    <row r="19" spans="4:9" x14ac:dyDescent="0.25">
      <c r="D19" s="11" t="s">
        <v>65</v>
      </c>
      <c r="E19" s="16">
        <f>E2</f>
        <v>10000</v>
      </c>
      <c r="F19" s="11"/>
      <c r="G19" s="11" t="s">
        <v>66</v>
      </c>
      <c r="H19" s="11"/>
      <c r="I19" s="11">
        <f>SUMIF(G2:G11,"Owner's Capital",I2:I11)</f>
        <v>10000</v>
      </c>
    </row>
    <row r="20" spans="4:9" x14ac:dyDescent="0.25">
      <c r="D20" s="13" t="s">
        <v>67</v>
      </c>
      <c r="E20" s="13"/>
      <c r="F20" s="15">
        <f>F6+F7</f>
        <v>5000</v>
      </c>
      <c r="G20" s="13" t="s">
        <v>68</v>
      </c>
      <c r="H20" s="13">
        <f>SUMIF(G2:G11,"Revenue",H2:H11)</f>
        <v>5000</v>
      </c>
      <c r="I20" s="13"/>
    </row>
    <row r="21" spans="4:9" x14ac:dyDescent="0.25">
      <c r="D21" s="11" t="s">
        <v>69</v>
      </c>
      <c r="E21" s="11">
        <f>SUMIF(D2:D11,"Rent Expense",E2:E11)</f>
        <v>600</v>
      </c>
      <c r="F21" s="11"/>
      <c r="G21" s="11" t="s">
        <v>70</v>
      </c>
      <c r="H21" s="11"/>
      <c r="I21" s="11">
        <f>SUMIF(G2:G11,"Rent Expense",I2:I11)</f>
        <v>0</v>
      </c>
    </row>
    <row r="22" spans="4:9" x14ac:dyDescent="0.25">
      <c r="D22" s="13" t="s">
        <v>71</v>
      </c>
      <c r="E22">
        <f>SUMIF(D2:D11,"Commission Expense",E2:E11)</f>
        <v>250</v>
      </c>
      <c r="G22" s="13" t="s">
        <v>72</v>
      </c>
      <c r="I22">
        <f>SUMIF(G2:G11,"Commission Expense",I2:I11)</f>
        <v>0</v>
      </c>
    </row>
  </sheetData>
  <autoFilter ref="A1:J11" xr:uid="{00000000-0009-0000-0000-000001000000}"/>
  <dataValidations count="1">
    <dataValidation type="list" allowBlank="1" sqref="D2:D11 G2:G11" xr:uid="{00000000-0002-0000-0100-000000000000}">
      <formula1>"Cash,Equipment,Inventory,Accounts Payable,Accounts Receivable,Owner's Capital,Revenue,Rent Expense,Commission Expense,Bank Loan"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2" sqref="B2"/>
    </sheetView>
  </sheetViews>
  <sheetFormatPr defaultRowHeight="15" x14ac:dyDescent="0.25"/>
  <cols>
    <col min="1" max="1" width="7" customWidth="1"/>
    <col min="2" max="2" width="50" customWidth="1"/>
    <col min="3" max="6" width="16" customWidth="1"/>
  </cols>
  <sheetData>
    <row r="1" spans="1:6" x14ac:dyDescent="0.25">
      <c r="A1" s="4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spans="1:6" x14ac:dyDescent="0.25">
      <c r="A2">
        <v>1</v>
      </c>
      <c r="B2" t="s">
        <v>45</v>
      </c>
      <c r="C2" s="9">
        <f>D2+E2</f>
        <v>28743</v>
      </c>
      <c r="D2" s="8">
        <v>13445</v>
      </c>
      <c r="E2" s="8">
        <v>15298</v>
      </c>
      <c r="F2" t="str">
        <f>IF(C2=D2+E2,"BALANCED","CHECK")</f>
        <v>BALANCED</v>
      </c>
    </row>
    <row r="3" spans="1:6" x14ac:dyDescent="0.25">
      <c r="A3">
        <v>2</v>
      </c>
      <c r="B3" t="s">
        <v>46</v>
      </c>
      <c r="C3" s="8">
        <v>20000</v>
      </c>
      <c r="D3" s="8">
        <v>7500</v>
      </c>
      <c r="E3" s="9">
        <f>C3-D3</f>
        <v>12500</v>
      </c>
      <c r="F3" t="str">
        <f>IF(C3=D3+E3,"BALANCED","CHECK")</f>
        <v>BALANCED</v>
      </c>
    </row>
    <row r="4" spans="1:6" x14ac:dyDescent="0.25">
      <c r="A4">
        <v>3</v>
      </c>
      <c r="B4" t="s">
        <v>47</v>
      </c>
      <c r="C4" s="8">
        <v>35000</v>
      </c>
      <c r="D4" s="9">
        <f>C4-E4</f>
        <v>13000</v>
      </c>
      <c r="E4" s="8">
        <v>22000</v>
      </c>
      <c r="F4" t="str">
        <f>IF(C4=D4+E4,"BALANCED","CHECK")</f>
        <v>BALANCED</v>
      </c>
    </row>
    <row r="5" spans="1:6" x14ac:dyDescent="0.25">
      <c r="A5">
        <v>4</v>
      </c>
      <c r="B5" t="s">
        <v>48</v>
      </c>
      <c r="C5" s="9">
        <f>D5+E5</f>
        <v>25000</v>
      </c>
      <c r="D5" s="8">
        <v>9000</v>
      </c>
      <c r="E5" s="8">
        <v>16000</v>
      </c>
      <c r="F5" t="str">
        <f>IF(C5=D5+E5,"BALANCED","CHECK")</f>
        <v>BALANCED</v>
      </c>
    </row>
    <row r="6" spans="1:6" x14ac:dyDescent="0.25">
      <c r="A6">
        <v>5</v>
      </c>
      <c r="B6" t="s">
        <v>49</v>
      </c>
      <c r="C6" s="8">
        <v>50000</v>
      </c>
      <c r="D6" s="8">
        <v>18000</v>
      </c>
      <c r="E6" s="9">
        <f>C6-D6</f>
        <v>32000</v>
      </c>
      <c r="F6" t="str">
        <f>IF(C6=D6+E6,"BALANCED","CHECK")</f>
        <v>BALANCED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workbookViewId="0">
      <selection activeCell="C16" sqref="C16"/>
    </sheetView>
  </sheetViews>
  <sheetFormatPr defaultRowHeight="15" x14ac:dyDescent="0.25"/>
  <cols>
    <col min="1" max="1" width="28" customWidth="1"/>
    <col min="2" max="3" width="18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30</v>
      </c>
      <c r="B2" s="8">
        <v>16000</v>
      </c>
      <c r="C2" s="8">
        <v>2850</v>
      </c>
    </row>
    <row r="3" spans="1:3" x14ac:dyDescent="0.25">
      <c r="A3" t="s">
        <v>36</v>
      </c>
      <c r="B3" s="8">
        <v>0</v>
      </c>
      <c r="C3" s="8">
        <v>2000</v>
      </c>
    </row>
    <row r="4" spans="1:3" x14ac:dyDescent="0.25">
      <c r="A4" t="s">
        <v>32</v>
      </c>
      <c r="B4" s="8">
        <v>2000</v>
      </c>
      <c r="C4" s="8">
        <v>0</v>
      </c>
    </row>
    <row r="5" spans="1:3" x14ac:dyDescent="0.25">
      <c r="A5" t="s">
        <v>33</v>
      </c>
      <c r="B5" s="8">
        <v>1500</v>
      </c>
      <c r="C5" s="8">
        <v>0</v>
      </c>
    </row>
    <row r="6" spans="1:3" x14ac:dyDescent="0.25">
      <c r="A6" t="s">
        <v>34</v>
      </c>
      <c r="B6" s="8">
        <v>0</v>
      </c>
      <c r="C6" s="8">
        <v>500</v>
      </c>
    </row>
    <row r="7" spans="1:3" x14ac:dyDescent="0.25">
      <c r="A7" t="s">
        <v>39</v>
      </c>
      <c r="B7" s="8">
        <v>5000</v>
      </c>
      <c r="C7" s="8">
        <v>5000</v>
      </c>
    </row>
    <row r="8" spans="1:3" x14ac:dyDescent="0.25">
      <c r="A8" t="s">
        <v>31</v>
      </c>
      <c r="B8" s="8">
        <v>10000</v>
      </c>
      <c r="C8" s="8">
        <v>10000</v>
      </c>
    </row>
    <row r="9" spans="1:3" x14ac:dyDescent="0.25">
      <c r="A9" t="s">
        <v>35</v>
      </c>
      <c r="B9" s="8">
        <v>5000</v>
      </c>
      <c r="C9" s="8">
        <v>5000</v>
      </c>
    </row>
    <row r="10" spans="1:3" x14ac:dyDescent="0.25">
      <c r="A10" t="s">
        <v>37</v>
      </c>
      <c r="B10" s="8">
        <v>600</v>
      </c>
      <c r="C10" s="8">
        <v>0</v>
      </c>
    </row>
    <row r="11" spans="1:3" x14ac:dyDescent="0.25">
      <c r="A11" t="s">
        <v>38</v>
      </c>
      <c r="B11" s="8">
        <v>250</v>
      </c>
      <c r="C11" s="8">
        <v>0</v>
      </c>
    </row>
    <row r="12" spans="1:3" x14ac:dyDescent="0.25">
      <c r="A12" s="5" t="s">
        <v>53</v>
      </c>
      <c r="B12" s="14">
        <f>SUM(B2:B11)</f>
        <v>40350</v>
      </c>
      <c r="C12" s="14">
        <f>SUM(C2:C11)</f>
        <v>25350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Practice</vt:lpstr>
      <vt:lpstr>Equation Practice</vt:lpstr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Edman Tangjong</cp:lastModifiedBy>
  <dcterms:created xsi:type="dcterms:W3CDTF">2026-08-11T23:32:24Z</dcterms:created>
  <dcterms:modified xsi:type="dcterms:W3CDTF">2026-08-14T21:49:35Z</dcterms:modified>
</cp:coreProperties>
</file>